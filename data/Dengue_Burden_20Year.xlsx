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engue_Indonesia\"/>
    </mc:Choice>
  </mc:AlternateContent>
  <xr:revisionPtr revIDLastSave="0" documentId="13_ncr:1_{9F237483-3AB3-4BD5-B25E-42AEBB8A75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ngue_Burd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E25" i="1"/>
  <c r="E24" i="1"/>
  <c r="E23" i="1"/>
  <c r="E22" i="1"/>
  <c r="C23" i="1"/>
  <c r="B23" i="1"/>
  <c r="I21" i="1"/>
  <c r="H21" i="1"/>
  <c r="G21" i="1"/>
  <c r="F21" i="1"/>
  <c r="E21" i="1"/>
  <c r="I20" i="1"/>
  <c r="H20" i="1"/>
  <c r="G20" i="1"/>
  <c r="F20" i="1"/>
  <c r="E20" i="1"/>
  <c r="I19" i="1"/>
  <c r="J19" i="1" s="1"/>
  <c r="K19" i="1" s="1"/>
  <c r="H19" i="1"/>
  <c r="G19" i="1"/>
  <c r="F19" i="1"/>
  <c r="E19" i="1"/>
  <c r="I18" i="1"/>
  <c r="H18" i="1"/>
  <c r="G18" i="1"/>
  <c r="F18" i="1"/>
  <c r="E18" i="1"/>
  <c r="I17" i="1"/>
  <c r="H17" i="1"/>
  <c r="J17" i="1" s="1"/>
  <c r="K17" i="1" s="1"/>
  <c r="G17" i="1"/>
  <c r="F17" i="1"/>
  <c r="E17" i="1"/>
  <c r="I16" i="1"/>
  <c r="H16" i="1"/>
  <c r="G16" i="1"/>
  <c r="F16" i="1"/>
  <c r="E16" i="1"/>
  <c r="I15" i="1"/>
  <c r="H15" i="1"/>
  <c r="G15" i="1"/>
  <c r="F15" i="1"/>
  <c r="E15" i="1"/>
  <c r="I14" i="1"/>
  <c r="H14" i="1"/>
  <c r="G14" i="1"/>
  <c r="F14" i="1"/>
  <c r="E14" i="1"/>
  <c r="I13" i="1"/>
  <c r="H13" i="1"/>
  <c r="G13" i="1"/>
  <c r="F13" i="1"/>
  <c r="E13" i="1"/>
  <c r="I12" i="1"/>
  <c r="H12" i="1"/>
  <c r="G12" i="1"/>
  <c r="F12" i="1"/>
  <c r="E12" i="1"/>
  <c r="I11" i="1"/>
  <c r="H11" i="1"/>
  <c r="G11" i="1"/>
  <c r="F11" i="1"/>
  <c r="E11" i="1"/>
  <c r="I10" i="1"/>
  <c r="H10" i="1"/>
  <c r="G10" i="1"/>
  <c r="F10" i="1"/>
  <c r="E10" i="1"/>
  <c r="I9" i="1"/>
  <c r="H9" i="1"/>
  <c r="G9" i="1"/>
  <c r="F9" i="1"/>
  <c r="E9" i="1"/>
  <c r="I8" i="1"/>
  <c r="H8" i="1"/>
  <c r="J8" i="1" s="1"/>
  <c r="G8" i="1"/>
  <c r="F8" i="1"/>
  <c r="E8" i="1"/>
  <c r="I7" i="1"/>
  <c r="J7" i="1" s="1"/>
  <c r="H7" i="1"/>
  <c r="G7" i="1"/>
  <c r="F7" i="1"/>
  <c r="E7" i="1"/>
  <c r="I6" i="1"/>
  <c r="J6" i="1" s="1"/>
  <c r="H6" i="1"/>
  <c r="G6" i="1"/>
  <c r="F6" i="1"/>
  <c r="E6" i="1"/>
  <c r="I5" i="1"/>
  <c r="H5" i="1"/>
  <c r="G5" i="1"/>
  <c r="F5" i="1"/>
  <c r="E5" i="1"/>
  <c r="I4" i="1"/>
  <c r="H4" i="1"/>
  <c r="G4" i="1"/>
  <c r="F4" i="1"/>
  <c r="E4" i="1"/>
  <c r="I3" i="1"/>
  <c r="H3" i="1"/>
  <c r="G3" i="1"/>
  <c r="F3" i="1"/>
  <c r="E3" i="1"/>
  <c r="I2" i="1"/>
  <c r="H2" i="1"/>
  <c r="G2" i="1"/>
  <c r="F2" i="1"/>
  <c r="E2" i="1"/>
  <c r="J5" i="1" l="1"/>
  <c r="J4" i="1"/>
  <c r="J9" i="1"/>
  <c r="J10" i="1"/>
  <c r="J11" i="1"/>
  <c r="J12" i="1"/>
  <c r="J3" i="1"/>
  <c r="K3" i="1" s="1"/>
  <c r="J2" i="1"/>
  <c r="K2" i="1" s="1"/>
  <c r="J13" i="1"/>
  <c r="K13" i="1" s="1"/>
  <c r="J14" i="1"/>
  <c r="K14" i="1" s="1"/>
  <c r="J15" i="1"/>
  <c r="K15" i="1" s="1"/>
  <c r="J16" i="1"/>
  <c r="K16" i="1" s="1"/>
  <c r="J18" i="1"/>
  <c r="K18" i="1" s="1"/>
  <c r="J20" i="1"/>
  <c r="K20" i="1" s="1"/>
  <c r="J21" i="1"/>
  <c r="K21" i="1" s="1"/>
</calcChain>
</file>

<file path=xl/sharedStrings.xml><?xml version="1.0" encoding="utf-8"?>
<sst xmlns="http://schemas.openxmlformats.org/spreadsheetml/2006/main" count="16" uniqueCount="15">
  <si>
    <t>Year</t>
  </si>
  <si>
    <t>Total Reported Cases</t>
  </si>
  <si>
    <t>Total Deaths</t>
  </si>
  <si>
    <t>Mid-Year Population</t>
  </si>
  <si>
    <t>Incidence Rate (per 100,000)</t>
  </si>
  <si>
    <t>Mortality Rate (per 100,000)</t>
  </si>
  <si>
    <t>Case Fatality Rate (%)</t>
  </si>
  <si>
    <t>Years of Life Lost (YLL)</t>
  </si>
  <si>
    <t>Years Lived with Disability (YLD)</t>
  </si>
  <si>
    <t>Total DALYs</t>
  </si>
  <si>
    <t>DALYs per 100,000 Population</t>
  </si>
  <si>
    <t>Total Cases (2005–2024)</t>
  </si>
  <si>
    <t>YLL</t>
  </si>
  <si>
    <t>YLD</t>
  </si>
  <si>
    <t>DALY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</si>
</sst>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I23" sqref="I23"/>
    </sheetView>
  </sheetViews>
  <sheetFormatPr defaultRowHeight="14.4" x14ac:dyDescent="0.3"/>
  <cols>
    <col min="2" max="2" width="15.77734375" customWidth="1"/>
    <col min="3" max="3" width="15.88671875" customWidth="1"/>
    <col min="4" max="4" width="18.77734375" customWidth="1"/>
    <col min="5" max="5" width="11.44140625" bestFit="1" customWidth="1"/>
    <col min="6" max="6" width="13.109375" customWidth="1"/>
    <col min="11" max="11" width="18.77734375" customWidth="1"/>
  </cols>
  <sheetData>
    <row r="1" spans="1:14" ht="25.2" customHeight="1" x14ac:dyDescent="0.3">
      <c r="A1" s="2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7" t="s">
        <v>12</v>
      </c>
      <c r="M1" s="7" t="s">
        <v>13</v>
      </c>
      <c r="N1" s="7" t="s">
        <v>14</v>
      </c>
    </row>
    <row r="2" spans="1:14" x14ac:dyDescent="0.3">
      <c r="A2">
        <v>2005</v>
      </c>
      <c r="B2">
        <v>95279</v>
      </c>
      <c r="C2">
        <v>1302</v>
      </c>
      <c r="D2">
        <v>219403025</v>
      </c>
      <c r="E2">
        <f t="shared" ref="E2:E21" si="0">IFERROR((B2/D2)*100000,"")</f>
        <v>43.426475090760484</v>
      </c>
      <c r="F2">
        <f t="shared" ref="F2:F21" si="1">IFERROR((C2/D2)*100000,"")</f>
        <v>0.59342846344073885</v>
      </c>
      <c r="G2">
        <f t="shared" ref="G2:G21" si="2">IFERROR((C2/B2)*100,"")</f>
        <v>1.3665130826310099</v>
      </c>
      <c r="H2">
        <f t="shared" ref="H2:H21" si="3">IFERROR(C2*(72-15),"")</f>
        <v>74214</v>
      </c>
      <c r="I2">
        <f t="shared" ref="I2:I21" si="4">IFERROR(B2*0.027*0.211,"")</f>
        <v>542.80446299999994</v>
      </c>
      <c r="J2">
        <f t="shared" ref="J2:J21" si="5">IFERROR(H2+I2,"")</f>
        <v>74756.804462999993</v>
      </c>
      <c r="K2">
        <f t="shared" ref="K2:K21" si="6">IFERROR((J2/D2)*100000,"")</f>
        <v>34.07282304471417</v>
      </c>
      <c r="L2">
        <v>74214</v>
      </c>
      <c r="M2">
        <v>542.80446300000006</v>
      </c>
      <c r="N2">
        <v>74756.804462999993</v>
      </c>
    </row>
    <row r="3" spans="1:14" x14ac:dyDescent="0.3">
      <c r="A3">
        <v>2006</v>
      </c>
      <c r="B3">
        <v>114656</v>
      </c>
      <c r="C3">
        <v>1196</v>
      </c>
      <c r="D3">
        <v>218459999</v>
      </c>
      <c r="E3">
        <f t="shared" si="0"/>
        <v>52.483750125806786</v>
      </c>
      <c r="F3">
        <f t="shared" si="1"/>
        <v>0.54746864665141737</v>
      </c>
      <c r="G3">
        <f t="shared" si="2"/>
        <v>1.0431202902595591</v>
      </c>
      <c r="H3">
        <f t="shared" si="3"/>
        <v>68172</v>
      </c>
      <c r="I3">
        <f t="shared" si="4"/>
        <v>653.19523200000003</v>
      </c>
      <c r="J3">
        <f t="shared" si="5"/>
        <v>68825.195231999998</v>
      </c>
      <c r="K3">
        <f t="shared" si="6"/>
        <v>31.504712783597515</v>
      </c>
      <c r="L3">
        <v>68172</v>
      </c>
      <c r="M3">
        <v>653.19523200000003</v>
      </c>
      <c r="N3">
        <v>68825.195231999998</v>
      </c>
    </row>
    <row r="4" spans="1:14" x14ac:dyDescent="0.3">
      <c r="A4">
        <v>2007</v>
      </c>
      <c r="B4">
        <v>158115</v>
      </c>
      <c r="C4">
        <v>1599</v>
      </c>
      <c r="D4">
        <v>220289890</v>
      </c>
      <c r="E4">
        <f t="shared" si="0"/>
        <v>71.77587677764059</v>
      </c>
      <c r="F4">
        <f t="shared" si="1"/>
        <v>0.72586172701797624</v>
      </c>
      <c r="G4">
        <f t="shared" si="2"/>
        <v>1.0112892514941656</v>
      </c>
      <c r="H4">
        <f t="shared" si="3"/>
        <v>91143</v>
      </c>
      <c r="I4">
        <f t="shared" si="4"/>
        <v>900.7811549999999</v>
      </c>
      <c r="J4">
        <f t="shared" si="5"/>
        <v>92043.781155000004</v>
      </c>
      <c r="K4">
        <f t="shared" si="6"/>
        <v>41.783025610026861</v>
      </c>
      <c r="L4">
        <v>91143</v>
      </c>
      <c r="M4">
        <v>900.7811549999999</v>
      </c>
      <c r="N4">
        <v>92043.781155000004</v>
      </c>
    </row>
    <row r="5" spans="1:14" x14ac:dyDescent="0.3">
      <c r="A5">
        <v>2008</v>
      </c>
      <c r="B5">
        <v>137469</v>
      </c>
      <c r="C5">
        <v>1187</v>
      </c>
      <c r="D5">
        <v>232898999</v>
      </c>
      <c r="E5">
        <f t="shared" si="0"/>
        <v>59.025157081074447</v>
      </c>
      <c r="F5">
        <f t="shared" si="1"/>
        <v>0.50966298914835606</v>
      </c>
      <c r="G5">
        <f t="shared" si="2"/>
        <v>0.86346739992289168</v>
      </c>
      <c r="H5">
        <f t="shared" si="3"/>
        <v>67659</v>
      </c>
      <c r="I5">
        <f t="shared" si="4"/>
        <v>783.16089299999999</v>
      </c>
      <c r="J5">
        <f t="shared" si="5"/>
        <v>68442.160892999993</v>
      </c>
      <c r="K5">
        <f t="shared" si="6"/>
        <v>29.387056701347177</v>
      </c>
      <c r="L5">
        <v>67659</v>
      </c>
      <c r="M5">
        <v>783.16089299999999</v>
      </c>
      <c r="N5">
        <v>68442.160892999993</v>
      </c>
    </row>
    <row r="6" spans="1:14" x14ac:dyDescent="0.3">
      <c r="A6">
        <v>2009</v>
      </c>
      <c r="B6">
        <v>158912</v>
      </c>
      <c r="C6">
        <v>1420</v>
      </c>
      <c r="D6">
        <v>232917967</v>
      </c>
      <c r="E6">
        <f t="shared" si="0"/>
        <v>68.226595846940398</v>
      </c>
      <c r="F6">
        <f t="shared" si="1"/>
        <v>0.60965670372693925</v>
      </c>
      <c r="G6">
        <f t="shared" si="2"/>
        <v>0.89357631896898915</v>
      </c>
      <c r="H6">
        <f t="shared" si="3"/>
        <v>80940</v>
      </c>
      <c r="I6">
        <f t="shared" si="4"/>
        <v>905.32166399999994</v>
      </c>
      <c r="J6">
        <f t="shared" si="5"/>
        <v>81845.321664000003</v>
      </c>
      <c r="K6">
        <f t="shared" si="6"/>
        <v>35.13911902897555</v>
      </c>
      <c r="L6">
        <v>80940</v>
      </c>
      <c r="M6">
        <v>905.32166399999994</v>
      </c>
      <c r="N6">
        <v>81845.321664000003</v>
      </c>
    </row>
    <row r="7" spans="1:14" x14ac:dyDescent="0.3">
      <c r="A7">
        <v>2010</v>
      </c>
      <c r="B7">
        <v>156086</v>
      </c>
      <c r="C7">
        <v>1358</v>
      </c>
      <c r="D7">
        <v>237641326</v>
      </c>
      <c r="E7">
        <f t="shared" si="0"/>
        <v>65.681336923696506</v>
      </c>
      <c r="F7">
        <f t="shared" si="1"/>
        <v>0.57144942879169092</v>
      </c>
      <c r="G7">
        <f t="shared" si="2"/>
        <v>0.87003318683289976</v>
      </c>
      <c r="H7">
        <f t="shared" si="3"/>
        <v>77406</v>
      </c>
      <c r="I7">
        <f t="shared" si="4"/>
        <v>889.22194200000001</v>
      </c>
      <c r="J7">
        <f t="shared" si="5"/>
        <v>78295.221942000004</v>
      </c>
      <c r="K7">
        <f t="shared" si="6"/>
        <v>32.946804017580682</v>
      </c>
      <c r="L7">
        <v>77406</v>
      </c>
      <c r="M7">
        <v>889.22194200000001</v>
      </c>
      <c r="N7">
        <v>78295.221942000004</v>
      </c>
    </row>
    <row r="8" spans="1:14" x14ac:dyDescent="0.3">
      <c r="A8">
        <v>2011</v>
      </c>
      <c r="B8">
        <v>65725</v>
      </c>
      <c r="C8">
        <v>597</v>
      </c>
      <c r="D8">
        <v>234450521</v>
      </c>
      <c r="E8">
        <f t="shared" si="0"/>
        <v>28.033633587020265</v>
      </c>
      <c r="F8">
        <f t="shared" si="1"/>
        <v>0.2546379498128733</v>
      </c>
      <c r="G8">
        <f t="shared" si="2"/>
        <v>0.90833016356028895</v>
      </c>
      <c r="H8">
        <f t="shared" si="3"/>
        <v>34029</v>
      </c>
      <c r="I8">
        <f t="shared" si="4"/>
        <v>374.43532499999998</v>
      </c>
      <c r="J8">
        <f t="shared" si="5"/>
        <v>34403.435324999999</v>
      </c>
      <c r="K8">
        <f t="shared" si="6"/>
        <v>14.674070749879032</v>
      </c>
      <c r="L8">
        <v>34029</v>
      </c>
      <c r="M8">
        <v>374.43532499999998</v>
      </c>
      <c r="N8">
        <v>34403.435324999999</v>
      </c>
    </row>
    <row r="9" spans="1:14" x14ac:dyDescent="0.3">
      <c r="A9">
        <v>2012</v>
      </c>
      <c r="B9">
        <v>90245</v>
      </c>
      <c r="C9">
        <v>816</v>
      </c>
      <c r="D9">
        <v>243185460</v>
      </c>
      <c r="E9">
        <f t="shared" si="0"/>
        <v>37.10953771660526</v>
      </c>
      <c r="F9">
        <f t="shared" si="1"/>
        <v>0.33554637682696986</v>
      </c>
      <c r="G9">
        <f t="shared" si="2"/>
        <v>0.90420521912571339</v>
      </c>
      <c r="H9">
        <f t="shared" si="3"/>
        <v>46512</v>
      </c>
      <c r="I9">
        <f t="shared" si="4"/>
        <v>514.12576499999989</v>
      </c>
      <c r="J9">
        <f t="shared" si="5"/>
        <v>47026.125764999997</v>
      </c>
      <c r="K9">
        <f t="shared" si="6"/>
        <v>19.33755651550878</v>
      </c>
      <c r="L9">
        <v>46512</v>
      </c>
      <c r="M9">
        <v>514.12576499999989</v>
      </c>
      <c r="N9">
        <v>47026.125764999997</v>
      </c>
    </row>
    <row r="10" spans="1:14" x14ac:dyDescent="0.3">
      <c r="A10">
        <v>2013</v>
      </c>
      <c r="B10">
        <v>112511</v>
      </c>
      <c r="C10">
        <v>871</v>
      </c>
      <c r="D10">
        <v>245394250</v>
      </c>
      <c r="E10">
        <f t="shared" si="0"/>
        <v>45.849077555810702</v>
      </c>
      <c r="F10">
        <f t="shared" si="1"/>
        <v>0.35493904197021731</v>
      </c>
      <c r="G10">
        <f t="shared" si="2"/>
        <v>0.77414652789505023</v>
      </c>
      <c r="H10">
        <f t="shared" si="3"/>
        <v>49647</v>
      </c>
      <c r="I10">
        <f t="shared" si="4"/>
        <v>640.97516699999994</v>
      </c>
      <c r="J10">
        <f t="shared" si="5"/>
        <v>50287.975166999997</v>
      </c>
      <c r="K10">
        <f t="shared" si="6"/>
        <v>20.492727587137839</v>
      </c>
      <c r="L10">
        <v>49647</v>
      </c>
      <c r="M10">
        <v>640.97516699999994</v>
      </c>
      <c r="N10">
        <v>50287.975166999997</v>
      </c>
    </row>
    <row r="11" spans="1:14" x14ac:dyDescent="0.3">
      <c r="A11">
        <v>2014</v>
      </c>
      <c r="B11">
        <v>100347</v>
      </c>
      <c r="C11">
        <v>907</v>
      </c>
      <c r="D11">
        <v>252124458</v>
      </c>
      <c r="E11">
        <f t="shared" si="0"/>
        <v>39.800581346217513</v>
      </c>
      <c r="F11">
        <f t="shared" si="1"/>
        <v>0.35974296472260536</v>
      </c>
      <c r="G11">
        <f t="shared" si="2"/>
        <v>0.90386359333114086</v>
      </c>
      <c r="H11">
        <f t="shared" si="3"/>
        <v>51699</v>
      </c>
      <c r="I11">
        <f t="shared" si="4"/>
        <v>571.67685900000004</v>
      </c>
      <c r="J11">
        <f t="shared" si="5"/>
        <v>52270.676858999999</v>
      </c>
      <c r="K11">
        <f t="shared" si="6"/>
        <v>20.732092901117905</v>
      </c>
      <c r="L11">
        <v>51699</v>
      </c>
      <c r="M11">
        <v>571.67685900000004</v>
      </c>
      <c r="N11">
        <v>52270.676858999999</v>
      </c>
    </row>
    <row r="12" spans="1:14" x14ac:dyDescent="0.3">
      <c r="A12">
        <v>2015</v>
      </c>
      <c r="B12">
        <v>129650</v>
      </c>
      <c r="C12">
        <v>1071</v>
      </c>
      <c r="D12">
        <v>255461686</v>
      </c>
      <c r="E12">
        <f t="shared" si="0"/>
        <v>50.751250424300416</v>
      </c>
      <c r="F12">
        <f t="shared" si="1"/>
        <v>0.41924095028481101</v>
      </c>
      <c r="G12">
        <f t="shared" si="2"/>
        <v>0.8260701889703046</v>
      </c>
      <c r="H12">
        <f t="shared" si="3"/>
        <v>61047</v>
      </c>
      <c r="I12">
        <f t="shared" si="4"/>
        <v>738.61604999999997</v>
      </c>
      <c r="J12">
        <f t="shared" si="5"/>
        <v>61785.616049999997</v>
      </c>
      <c r="K12">
        <f t="shared" si="6"/>
        <v>24.185864039901464</v>
      </c>
      <c r="L12">
        <v>61047</v>
      </c>
      <c r="M12">
        <v>738.61604999999997</v>
      </c>
      <c r="N12">
        <v>61785.616049999997</v>
      </c>
    </row>
    <row r="13" spans="1:14" x14ac:dyDescent="0.3">
      <c r="A13">
        <v>2016</v>
      </c>
      <c r="B13">
        <v>204171</v>
      </c>
      <c r="C13">
        <v>1598</v>
      </c>
      <c r="D13">
        <v>258946860</v>
      </c>
      <c r="E13">
        <f t="shared" si="0"/>
        <v>78.846679198967706</v>
      </c>
      <c r="F13">
        <f t="shared" si="1"/>
        <v>0.61711503279089774</v>
      </c>
      <c r="G13">
        <f t="shared" si="2"/>
        <v>0.78267726562538265</v>
      </c>
      <c r="H13">
        <f t="shared" si="3"/>
        <v>91086</v>
      </c>
      <c r="I13">
        <f t="shared" si="4"/>
        <v>1163.1621869999999</v>
      </c>
      <c r="J13">
        <f t="shared" si="5"/>
        <v>92249.162186999994</v>
      </c>
      <c r="K13">
        <f t="shared" si="6"/>
        <v>35.624746400477683</v>
      </c>
      <c r="L13">
        <v>91086</v>
      </c>
      <c r="M13">
        <v>1163.1621869999999</v>
      </c>
      <c r="N13">
        <v>92249.162186999994</v>
      </c>
    </row>
    <row r="14" spans="1:14" x14ac:dyDescent="0.3">
      <c r="A14">
        <v>2017</v>
      </c>
      <c r="B14">
        <v>68407</v>
      </c>
      <c r="C14">
        <v>493</v>
      </c>
      <c r="D14">
        <v>261890872</v>
      </c>
      <c r="E14">
        <f t="shared" si="0"/>
        <v>26.120421638826723</v>
      </c>
      <c r="F14">
        <f t="shared" si="1"/>
        <v>0.18824634712736379</v>
      </c>
      <c r="G14">
        <f t="shared" si="2"/>
        <v>0.72068647945385711</v>
      </c>
      <c r="H14">
        <f t="shared" si="3"/>
        <v>28101</v>
      </c>
      <c r="I14">
        <f t="shared" si="4"/>
        <v>389.71467899999999</v>
      </c>
      <c r="J14">
        <f t="shared" si="5"/>
        <v>28490.714679000001</v>
      </c>
      <c r="K14">
        <f t="shared" si="6"/>
        <v>10.878849828336133</v>
      </c>
      <c r="L14">
        <v>28101</v>
      </c>
      <c r="M14">
        <v>389.71467899999999</v>
      </c>
      <c r="N14">
        <v>28490.714679000001</v>
      </c>
    </row>
    <row r="15" spans="1:14" x14ac:dyDescent="0.3">
      <c r="A15">
        <v>2018</v>
      </c>
      <c r="B15">
        <v>65602</v>
      </c>
      <c r="C15">
        <v>467</v>
      </c>
      <c r="D15">
        <v>265015313</v>
      </c>
      <c r="E15">
        <f t="shared" si="0"/>
        <v>24.754041288172655</v>
      </c>
      <c r="F15">
        <f t="shared" si="1"/>
        <v>0.17621623245597132</v>
      </c>
      <c r="G15">
        <f t="shared" si="2"/>
        <v>0.71186854059327465</v>
      </c>
      <c r="H15">
        <f t="shared" si="3"/>
        <v>26619</v>
      </c>
      <c r="I15">
        <f t="shared" si="4"/>
        <v>373.73459399999996</v>
      </c>
      <c r="J15">
        <f t="shared" si="5"/>
        <v>26992.734594000001</v>
      </c>
      <c r="K15">
        <f t="shared" si="6"/>
        <v>10.185349023209087</v>
      </c>
      <c r="L15">
        <v>26619</v>
      </c>
      <c r="M15">
        <v>373.73459399999996</v>
      </c>
      <c r="N15">
        <v>26992.734594000001</v>
      </c>
    </row>
    <row r="16" spans="1:14" x14ac:dyDescent="0.3">
      <c r="A16">
        <v>2019</v>
      </c>
      <c r="B16">
        <v>123127</v>
      </c>
      <c r="C16">
        <v>919</v>
      </c>
      <c r="D16">
        <v>268074565</v>
      </c>
      <c r="E16">
        <f t="shared" si="0"/>
        <v>45.930131416980942</v>
      </c>
      <c r="F16">
        <f t="shared" si="1"/>
        <v>0.3428150671437255</v>
      </c>
      <c r="G16">
        <f t="shared" si="2"/>
        <v>0.74638381508523721</v>
      </c>
      <c r="H16">
        <f t="shared" si="3"/>
        <v>52383</v>
      </c>
      <c r="I16">
        <f t="shared" si="4"/>
        <v>701.454519</v>
      </c>
      <c r="J16">
        <f t="shared" si="5"/>
        <v>53084.454518999999</v>
      </c>
      <c r="K16">
        <f t="shared" si="6"/>
        <v>19.802122785874893</v>
      </c>
      <c r="L16">
        <v>52383</v>
      </c>
      <c r="M16">
        <v>701.454519</v>
      </c>
      <c r="N16">
        <v>53084.454518999999</v>
      </c>
    </row>
    <row r="17" spans="1:14" x14ac:dyDescent="0.3">
      <c r="A17">
        <v>2020</v>
      </c>
      <c r="B17">
        <v>108303</v>
      </c>
      <c r="C17">
        <v>747</v>
      </c>
      <c r="D17">
        <v>271066366</v>
      </c>
      <c r="E17">
        <f t="shared" si="0"/>
        <v>39.95442208422125</v>
      </c>
      <c r="F17">
        <f t="shared" si="1"/>
        <v>0.27557826927151852</v>
      </c>
      <c r="G17">
        <f t="shared" si="2"/>
        <v>0.68973158638264875</v>
      </c>
      <c r="H17">
        <f t="shared" si="3"/>
        <v>42579</v>
      </c>
      <c r="I17">
        <f t="shared" si="4"/>
        <v>617.00219100000004</v>
      </c>
      <c r="J17">
        <f t="shared" si="5"/>
        <v>43196.002191</v>
      </c>
      <c r="K17">
        <f t="shared" si="6"/>
        <v>15.935581691090366</v>
      </c>
      <c r="L17">
        <v>42579</v>
      </c>
      <c r="M17">
        <v>617.00219100000004</v>
      </c>
      <c r="N17">
        <v>43196.002191</v>
      </c>
    </row>
    <row r="18" spans="1:14" x14ac:dyDescent="0.3">
      <c r="A18">
        <v>2021</v>
      </c>
      <c r="B18">
        <v>73518</v>
      </c>
      <c r="C18">
        <v>705</v>
      </c>
      <c r="D18">
        <v>272248454</v>
      </c>
      <c r="E18">
        <f t="shared" si="0"/>
        <v>27.004010094397081</v>
      </c>
      <c r="F18">
        <f t="shared" si="1"/>
        <v>0.25895463854498141</v>
      </c>
      <c r="G18">
        <f t="shared" si="2"/>
        <v>0.95894882885823873</v>
      </c>
      <c r="H18">
        <f t="shared" si="3"/>
        <v>40185</v>
      </c>
      <c r="I18">
        <f t="shared" si="4"/>
        <v>418.83204599999993</v>
      </c>
      <c r="J18">
        <f t="shared" si="5"/>
        <v>40603.832046000003</v>
      </c>
      <c r="K18">
        <f t="shared" si="6"/>
        <v>14.914256242571723</v>
      </c>
      <c r="L18">
        <v>40185</v>
      </c>
      <c r="M18">
        <v>418.83204599999993</v>
      </c>
      <c r="N18">
        <v>40603.832046000003</v>
      </c>
    </row>
    <row r="19" spans="1:14" x14ac:dyDescent="0.3">
      <c r="A19">
        <v>2022</v>
      </c>
      <c r="B19">
        <v>143266</v>
      </c>
      <c r="C19">
        <v>1237</v>
      </c>
      <c r="D19">
        <v>274859094</v>
      </c>
      <c r="E19">
        <f t="shared" si="0"/>
        <v>52.123434562438021</v>
      </c>
      <c r="F19">
        <f t="shared" si="1"/>
        <v>0.45004878026702655</v>
      </c>
      <c r="G19">
        <f t="shared" si="2"/>
        <v>0.86342886658383711</v>
      </c>
      <c r="H19">
        <f t="shared" si="3"/>
        <v>70509</v>
      </c>
      <c r="I19">
        <f t="shared" si="4"/>
        <v>816.18640199999993</v>
      </c>
      <c r="J19">
        <f t="shared" si="5"/>
        <v>71325.186402000007</v>
      </c>
      <c r="K19">
        <f t="shared" si="6"/>
        <v>25.949727681922724</v>
      </c>
      <c r="L19">
        <v>70509</v>
      </c>
      <c r="M19">
        <v>816.18640199999993</v>
      </c>
      <c r="N19">
        <v>71325.186402000007</v>
      </c>
    </row>
    <row r="20" spans="1:14" x14ac:dyDescent="0.3">
      <c r="A20">
        <v>2023</v>
      </c>
      <c r="B20">
        <v>114720</v>
      </c>
      <c r="C20">
        <v>894</v>
      </c>
      <c r="D20">
        <v>277374669</v>
      </c>
      <c r="E20">
        <f t="shared" si="0"/>
        <v>41.359220152868396</v>
      </c>
      <c r="F20">
        <f t="shared" si="1"/>
        <v>0.32230773027078402</v>
      </c>
      <c r="G20">
        <f t="shared" si="2"/>
        <v>0.77928870292887031</v>
      </c>
      <c r="H20">
        <f t="shared" si="3"/>
        <v>50958</v>
      </c>
      <c r="I20">
        <f t="shared" si="4"/>
        <v>653.55984000000001</v>
      </c>
      <c r="J20">
        <f t="shared" si="5"/>
        <v>51611.559840000002</v>
      </c>
      <c r="K20">
        <f t="shared" si="6"/>
        <v>18.607164102645584</v>
      </c>
      <c r="L20">
        <v>50958</v>
      </c>
      <c r="M20">
        <v>653.55984000000001</v>
      </c>
      <c r="N20">
        <v>51611.559840000002</v>
      </c>
    </row>
    <row r="21" spans="1:14" x14ac:dyDescent="0.3">
      <c r="A21">
        <v>2024</v>
      </c>
      <c r="B21">
        <v>257271</v>
      </c>
      <c r="C21">
        <v>1461</v>
      </c>
      <c r="D21">
        <v>279849986</v>
      </c>
      <c r="E21">
        <f t="shared" si="0"/>
        <v>91.931753750382526</v>
      </c>
      <c r="F21">
        <f t="shared" si="1"/>
        <v>0.52206541829164144</v>
      </c>
      <c r="G21">
        <f t="shared" si="2"/>
        <v>0.56788367130380024</v>
      </c>
      <c r="H21">
        <f t="shared" si="3"/>
        <v>83277</v>
      </c>
      <c r="I21">
        <f t="shared" si="4"/>
        <v>1465.6728869999999</v>
      </c>
      <c r="J21">
        <f t="shared" si="5"/>
        <v>84742.672886999993</v>
      </c>
      <c r="K21">
        <f t="shared" si="6"/>
        <v>30.28146404373949</v>
      </c>
      <c r="L21">
        <v>83277</v>
      </c>
      <c r="M21">
        <v>1465.6728869999999</v>
      </c>
      <c r="N21">
        <v>84742.672886999993</v>
      </c>
    </row>
    <row r="22" spans="1:14" x14ac:dyDescent="0.3">
      <c r="E22">
        <f>MEDIAN(E2:E21)</f>
        <v>45.889604486395825</v>
      </c>
    </row>
    <row r="23" spans="1:14" x14ac:dyDescent="0.3">
      <c r="B23" s="5">
        <f>SUM(B2:B21)</f>
        <v>2477380</v>
      </c>
      <c r="C23" s="5">
        <f>SUM(C2:C21)</f>
        <v>20845</v>
      </c>
      <c r="D23" s="5"/>
      <c r="E23" s="5">
        <f>_xlfn.QUARTILE.INC(E2:E21,1)</f>
        <v>39.127820438814453</v>
      </c>
      <c r="F23" s="5"/>
      <c r="G23" s="5"/>
      <c r="H23" s="5"/>
      <c r="I23" s="5"/>
      <c r="J23" s="5"/>
      <c r="K23" s="5"/>
    </row>
    <row r="24" spans="1:14" ht="28.8" x14ac:dyDescent="0.3">
      <c r="B24" s="6" t="s">
        <v>11</v>
      </c>
      <c r="C24" t="s">
        <v>2</v>
      </c>
      <c r="D24" s="5"/>
      <c r="E24" s="1">
        <f>_xlfn.QUARTILE.INC(E2:E21,3)</f>
        <v>60.689202041729963</v>
      </c>
      <c r="F24" s="5"/>
      <c r="G24" s="5"/>
      <c r="H24" s="5"/>
      <c r="I24" s="5"/>
      <c r="J24" s="5"/>
      <c r="K24" s="5"/>
    </row>
    <row r="25" spans="1:14" x14ac:dyDescent="0.3">
      <c r="E25">
        <f>E24-E23</f>
        <v>21.56138160291551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Dengue_Burden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 Vivobook</cp:lastModifiedBy>
  <dcterms:created xsi:type="dcterms:W3CDTF">2026-02-17T10:43:17Z</dcterms:created>
  <dcterms:modified xsi:type="dcterms:W3CDTF">2026-03-02T03:24:13Z</dcterms:modified>
</cp:coreProperties>
</file>